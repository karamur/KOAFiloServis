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dRock\Desktop\MURAT\"/>
    </mc:Choice>
  </mc:AlternateContent>
  <xr:revisionPtr revIDLastSave="0" documentId="13_ncr:1_{BDA7A598-C57A-4F2A-9358-A3CFF6E9DCA9}" xr6:coauthVersionLast="47" xr6:coauthVersionMax="47" xr10:uidLastSave="{00000000-0000-0000-0000-000000000000}"/>
  <bookViews>
    <workbookView xWindow="-120" yWindow="-120" windowWidth="29040" windowHeight="15720" xr2:uid="{0B6FDE90-6824-480A-9713-7330E2B21D32}"/>
  </bookViews>
  <sheets>
    <sheet name="Sayfa1" sheetId="1" r:id="rId1"/>
  </sheets>
  <definedNames>
    <definedName name="_xlnm._FilterDatabase" localSheetId="0" hidden="1">Sayfa1!$A$1:$XDY$2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" i="1" l="1"/>
  <c r="AS2" i="1" s="1"/>
  <c r="AU2" i="1" l="1"/>
  <c r="AW2" i="1" s="1"/>
  <c r="AT2" i="1"/>
</calcChain>
</file>

<file path=xl/sharedStrings.xml><?xml version="1.0" encoding="utf-8"?>
<sst xmlns="http://schemas.openxmlformats.org/spreadsheetml/2006/main" count="26" uniqueCount="25">
  <si>
    <t>S.NO</t>
  </si>
  <si>
    <t>FİRMA</t>
  </si>
  <si>
    <t>GÜZERGAH</t>
  </si>
  <si>
    <t>GELİR</t>
  </si>
  <si>
    <t>GİDER</t>
  </si>
  <si>
    <t>YÖN</t>
  </si>
  <si>
    <t xml:space="preserve">PLAKA </t>
  </si>
  <si>
    <t>ŞOFÖR</t>
  </si>
  <si>
    <t>TELEFON</t>
  </si>
  <si>
    <t>FATURA</t>
  </si>
  <si>
    <t>GÜN</t>
  </si>
  <si>
    <t>TOPLAM</t>
  </si>
  <si>
    <t>KDV/20</t>
  </si>
  <si>
    <t>KDV/10</t>
  </si>
  <si>
    <t>KERSİNTİ</t>
  </si>
  <si>
    <t>ÖDENECEK</t>
  </si>
  <si>
    <t>ANKARA SYHT</t>
  </si>
  <si>
    <t xml:space="preserve">O G M </t>
  </si>
  <si>
    <t>ERYAMAN TUNAHAN</t>
  </si>
  <si>
    <t>S-A</t>
  </si>
  <si>
    <t>06 C 4011</t>
  </si>
  <si>
    <t>HASAN YILDIZ</t>
  </si>
  <si>
    <t>0541 217 77 06</t>
  </si>
  <si>
    <t>ÜSTÜN GRUP SEYAHAT</t>
  </si>
  <si>
    <t>0541 544 40 11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</si>
</sst>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" fontId="5" fillId="2" borderId="1" xfId="0" applyNumberFormat="1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350B-D954-4A6F-A208-041C83A34E38}">
  <dimension ref="A1:AW2"/>
  <sheetViews>
    <sheetView tabSelected="1" topLeftCell="C1" workbookViewId="0">
      <pane ySplit="1" topLeftCell="A2" activePane="bottomLeft" state="frozen"/>
      <selection activeCell="C1" sqref="C1"/>
      <selection pane="bottomLeft" activeCell="D2" sqref="D2"/>
    </sheetView>
  </sheetViews>
  <sheetFormatPr defaultRowHeight="15" x14ac:dyDescent="0.25"/>
  <cols>
    <col min="1" max="1" width="4" bestFit="1" customWidth="1"/>
    <col min="2" max="2" width="18.85546875" bestFit="1" customWidth="1"/>
    <col min="3" max="3" width="42.42578125" customWidth="1"/>
    <col min="4" max="4" width="24" customWidth="1"/>
    <col min="5" max="6" width="9.5703125" bestFit="1" customWidth="1"/>
    <col min="7" max="7" width="8.7109375" customWidth="1"/>
    <col min="8" max="8" width="11.42578125" customWidth="1"/>
    <col min="9" max="9" width="20.28515625" customWidth="1"/>
    <col min="10" max="10" width="13.85546875" bestFit="1" customWidth="1"/>
    <col min="11" max="11" width="23.5703125" customWidth="1"/>
    <col min="12" max="12" width="13.85546875" bestFit="1" customWidth="1"/>
    <col min="13" max="43" width="3.28515625" hidden="1" customWidth="1"/>
    <col min="45" max="47" width="10.140625" bestFit="1" customWidth="1"/>
    <col min="49" max="49" width="10.140625" bestFit="1" customWidth="1"/>
  </cols>
  <sheetData>
    <row r="1" spans="1:49" ht="33" customHeight="1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3" t="s">
        <v>10</v>
      </c>
      <c r="AS1" s="4" t="s">
        <v>11</v>
      </c>
      <c r="AT1" s="4" t="s">
        <v>12</v>
      </c>
      <c r="AU1" s="4" t="s">
        <v>13</v>
      </c>
      <c r="AV1" s="4" t="s">
        <v>14</v>
      </c>
      <c r="AW1" s="4" t="s">
        <v>15</v>
      </c>
    </row>
    <row r="2" spans="1:49" s="15" customFormat="1" ht="18" customHeight="1" x14ac:dyDescent="0.25">
      <c r="A2" s="5">
        <v>1</v>
      </c>
      <c r="B2" s="6" t="s">
        <v>16</v>
      </c>
      <c r="C2" s="6" t="s">
        <v>17</v>
      </c>
      <c r="D2" s="7" t="s">
        <v>18</v>
      </c>
      <c r="E2" s="8">
        <v>5500</v>
      </c>
      <c r="F2" s="9">
        <v>5500</v>
      </c>
      <c r="G2" s="10" t="s">
        <v>19</v>
      </c>
      <c r="H2" s="6" t="s">
        <v>20</v>
      </c>
      <c r="I2" s="11" t="s">
        <v>21</v>
      </c>
      <c r="J2" s="6" t="s">
        <v>22</v>
      </c>
      <c r="K2" s="11" t="s">
        <v>23</v>
      </c>
      <c r="L2" s="6" t="s">
        <v>24</v>
      </c>
      <c r="M2" s="12"/>
      <c r="N2" s="13">
        <v>1</v>
      </c>
      <c r="O2" s="12"/>
      <c r="P2" s="12"/>
      <c r="Q2" s="13">
        <v>1</v>
      </c>
      <c r="R2" s="13">
        <v>1</v>
      </c>
      <c r="S2" s="13">
        <v>1</v>
      </c>
      <c r="T2" s="13">
        <v>1</v>
      </c>
      <c r="U2" s="13">
        <v>1</v>
      </c>
      <c r="V2" s="12"/>
      <c r="W2" s="12"/>
      <c r="X2" s="13">
        <v>1</v>
      </c>
      <c r="Y2" s="13">
        <v>1</v>
      </c>
      <c r="Z2" s="13">
        <v>1</v>
      </c>
      <c r="AA2" s="13">
        <v>1</v>
      </c>
      <c r="AB2" s="13">
        <v>1</v>
      </c>
      <c r="AC2" s="12"/>
      <c r="AD2" s="12"/>
      <c r="AE2" s="13">
        <v>1</v>
      </c>
      <c r="AF2" s="13">
        <v>1</v>
      </c>
      <c r="AG2" s="13">
        <v>1</v>
      </c>
      <c r="AH2" s="13">
        <v>1</v>
      </c>
      <c r="AI2" s="13">
        <v>1</v>
      </c>
      <c r="AJ2" s="12"/>
      <c r="AK2" s="12"/>
      <c r="AL2" s="13">
        <v>1</v>
      </c>
      <c r="AM2" s="13">
        <v>1</v>
      </c>
      <c r="AN2" s="13">
        <v>1</v>
      </c>
      <c r="AO2" s="13">
        <v>1</v>
      </c>
      <c r="AP2" s="13">
        <v>1</v>
      </c>
      <c r="AQ2" s="12"/>
      <c r="AR2" s="13">
        <f t="shared" ref="AR2" si="0">M2+N2+O2+P2+Q2+R2+S2+T2+U2+V2+W2+X2+Y2+Z2+AA2+AB2+AC2+AD2+AE2+AF2+AG2+AH2+AI2+AJ2+AK2+AL2+AM2+AN2+AO2+AP2+AQ2</f>
        <v>21</v>
      </c>
      <c r="AS2" s="14">
        <f t="shared" ref="AS2" si="1">F2*AR2</f>
        <v>115500</v>
      </c>
      <c r="AT2" s="14">
        <f t="shared" ref="AT2" si="2">AS2*1.2</f>
        <v>138600</v>
      </c>
      <c r="AU2" s="14">
        <f t="shared" ref="AU2" si="3">AS2*1.1</f>
        <v>127050.00000000001</v>
      </c>
      <c r="AV2" s="14"/>
      <c r="AW2" s="14">
        <f t="shared" ref="AW2" si="4">AU2-AV2</f>
        <v>127050.00000000001</v>
      </c>
    </row>
  </sheetData>
  <autoFilter ref="A1:XDY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RedRock</dc:creator>
  <cp:lastModifiedBy>RedRock</cp:lastModifiedBy>
  <dcterms:created xsi:type="dcterms:W3CDTF">2026-03-24T08:53:25Z</dcterms:created>
  <dcterms:modified xsi:type="dcterms:W3CDTF">2026-03-24T08:54:43Z</dcterms:modified>
</cp:coreProperties>
</file>